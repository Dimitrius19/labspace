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Headcount_Costs" sheetId="3" state="visible" r:id="rId3"/>
    <sheet xmlns:r="http://schemas.openxmlformats.org/officeDocument/2006/relationships" name="P_and_L" sheetId="4" state="visible" r:id="rId4"/>
    <sheet xmlns:r="http://schemas.openxmlformats.org/officeDocument/2006/relationships" name="Cash_Flow" sheetId="5" state="visible" r:id="rId5"/>
    <sheet xmlns:r="http://schemas.openxmlformats.org/officeDocument/2006/relationships" name="KP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546E7A"/>
    </font>
    <font>
      <b val="1"/>
      <color rgb="00263238"/>
      <sz val="11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ECEFF1"/>
      </patternFill>
    </fill>
    <fill>
      <patternFill patternType="solid">
        <fgColor rgb="00FFF9C4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164" fontId="0" fillId="4" borderId="0" pivotButton="0" quotePrefix="0" xfId="0"/>
    <xf numFmtId="3" fontId="0" fillId="4" borderId="0" pivotButton="0" quotePrefix="0" xfId="0"/>
    <xf numFmtId="165" fontId="0" fillId="4" borderId="0" pivotButton="0" quotePrefix="0" xfId="0"/>
    <xf numFmtId="0" fontId="0" fillId="4" borderId="0" pivotButton="0" quotePrefix="0" xfId="0"/>
    <xf numFmtId="164" fontId="0" fillId="0" borderId="0" pivotButton="0" quotePrefix="0" xfId="0"/>
    <xf numFmtId="164" fontId="4" fillId="5" borderId="0" pivotButton="0" quotePrefix="0" xfId="0"/>
    <xf numFmtId="3" fontId="0" fillId="0" borderId="0" pivotButton="0" quotePrefix="0" xfId="0"/>
    <xf numFmtId="164" fontId="4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Assumptions — RES Permit Cross-Checker</t>
        </is>
      </c>
    </row>
    <row r="3">
      <c r="A3" s="2" t="inlineStr">
        <is>
          <t>Ministry: environment-energy    Buyer: ΥΠΕΝ / ΡΑΑΕΥ</t>
        </is>
      </c>
    </row>
    <row r="5">
      <c r="A5" s="3" t="inlineStr">
        <is>
          <t>PRICING</t>
        </is>
      </c>
    </row>
    <row r="6">
      <c r="A6" s="4" t="inlineStr">
        <is>
          <t>Pricing</t>
        </is>
      </c>
      <c r="B6" s="5" t="inlineStr">
        <is>
          <t>Y1</t>
        </is>
      </c>
      <c r="C6" s="5" t="inlineStr">
        <is>
          <t>Y2</t>
        </is>
      </c>
      <c r="D6" s="5" t="inlineStr">
        <is>
          <t>Y3</t>
        </is>
      </c>
      <c r="E6" s="5" t="inlineStr">
        <is>
          <t>Y4</t>
        </is>
      </c>
      <c r="F6" s="5" t="inlineStr">
        <is>
          <t>Y5</t>
        </is>
      </c>
    </row>
    <row r="7">
      <c r="A7" s="6" t="inlineStr">
        <is>
          <t>Tier 1 — pilot price (€)</t>
        </is>
      </c>
      <c r="B7" s="7" t="n">
        <v>90000</v>
      </c>
      <c r="C7" s="7" t="n">
        <v>90000</v>
      </c>
      <c r="D7" s="7" t="n">
        <v>90000</v>
      </c>
      <c r="E7" s="7" t="n">
        <v>90000</v>
      </c>
      <c r="F7" s="7" t="n">
        <v>90000</v>
      </c>
    </row>
    <row r="8">
      <c r="A8" s="6" t="inlineStr">
        <is>
          <t>Tier 2 — year-one ACV (€)</t>
        </is>
      </c>
      <c r="B8" s="7" t="n">
        <v>450000</v>
      </c>
      <c r="C8" s="7" t="n">
        <v>450000</v>
      </c>
      <c r="D8" s="7" t="n">
        <v>450000</v>
      </c>
      <c r="E8" s="7" t="n">
        <v>450000</v>
      </c>
      <c r="F8" s="7" t="n">
        <v>450000</v>
      </c>
    </row>
    <row r="9">
      <c r="A9" s="6" t="inlineStr">
        <is>
          <t>Tier 3 — framework ACV (€)</t>
        </is>
      </c>
      <c r="B9" s="7" t="n">
        <v>1400000</v>
      </c>
      <c r="C9" s="7" t="n">
        <v>1400000</v>
      </c>
      <c r="D9" s="7" t="n">
        <v>1400000</v>
      </c>
      <c r="E9" s="7" t="n">
        <v>1400000</v>
      </c>
      <c r="F9" s="7" t="n">
        <v>1400000</v>
      </c>
    </row>
    <row r="10">
      <c r="A10" s="6" t="inlineStr">
        <is>
          <t>Avg seats per Tier-2 customer</t>
        </is>
      </c>
      <c r="B10" s="8" t="n">
        <v>30</v>
      </c>
      <c r="C10" s="8" t="n">
        <v>30</v>
      </c>
      <c r="D10" s="8" t="n">
        <v>30</v>
      </c>
      <c r="E10" s="8" t="n">
        <v>30</v>
      </c>
      <c r="F10" s="8" t="n">
        <v>30</v>
      </c>
    </row>
    <row r="11">
      <c r="A11" s="6" t="inlineStr">
        <is>
          <t>Blended seat price (€/yr)</t>
        </is>
      </c>
      <c r="B11" s="7" t="n">
        <v>3000</v>
      </c>
      <c r="C11" s="7" t="n">
        <v>3000</v>
      </c>
      <c r="D11" s="7" t="n">
        <v>3000</v>
      </c>
      <c r="E11" s="7" t="n">
        <v>3000</v>
      </c>
      <c r="F11" s="7" t="n">
        <v>3000</v>
      </c>
    </row>
    <row r="13">
      <c r="A13" s="3" t="inlineStr">
        <is>
          <t>ADOPTION (count per year)</t>
        </is>
      </c>
    </row>
    <row r="14">
      <c r="A14" s="4" t="inlineStr">
        <is>
          <t>Adoption</t>
        </is>
      </c>
      <c r="B14" s="5" t="inlineStr">
        <is>
          <t>Y1</t>
        </is>
      </c>
      <c r="C14" s="5" t="inlineStr">
        <is>
          <t>Y2</t>
        </is>
      </c>
      <c r="D14" s="5" t="inlineStr">
        <is>
          <t>Y3</t>
        </is>
      </c>
      <c r="E14" s="5" t="inlineStr">
        <is>
          <t>Y4</t>
        </is>
      </c>
      <c r="F14" s="5" t="inlineStr">
        <is>
          <t>Y5</t>
        </is>
      </c>
    </row>
    <row r="15">
      <c r="A15" s="6" t="inlineStr">
        <is>
          <t>Tier 1 customers (new + active)</t>
        </is>
      </c>
      <c r="B15" s="8" t="n">
        <v>2</v>
      </c>
      <c r="C15" s="8" t="n">
        <v>3</v>
      </c>
      <c r="D15" s="8" t="n">
        <v>2</v>
      </c>
      <c r="E15" s="8" t="n">
        <v>0</v>
      </c>
      <c r="F15" s="8" t="n">
        <v>0</v>
      </c>
    </row>
    <row r="16">
      <c r="A16" s="6" t="inlineStr">
        <is>
          <t>Tier 2 customers (cumulative active)</t>
        </is>
      </c>
      <c r="B16" s="8" t="n">
        <v>0</v>
      </c>
      <c r="C16" s="8" t="n">
        <v>2</v>
      </c>
      <c r="D16" s="8" t="n">
        <v>5</v>
      </c>
      <c r="E16" s="8" t="n">
        <v>9</v>
      </c>
      <c r="F16" s="8" t="n">
        <v>14</v>
      </c>
    </row>
    <row r="17">
      <c r="A17" s="6" t="inlineStr">
        <is>
          <t>Tier 3 customers (cumulative active)</t>
        </is>
      </c>
      <c r="B17" s="8" t="n">
        <v>0</v>
      </c>
      <c r="C17" s="8" t="n">
        <v>0</v>
      </c>
      <c r="D17" s="8" t="n">
        <v>1</v>
      </c>
      <c r="E17" s="8" t="n">
        <v>2</v>
      </c>
      <c r="F17" s="8" t="n">
        <v>3</v>
      </c>
    </row>
    <row r="19">
      <c r="A19" s="3" t="inlineStr">
        <is>
          <t>HEADCOUNT (FTE per year)</t>
        </is>
      </c>
    </row>
    <row r="20">
      <c r="A20" s="4" t="inlineStr">
        <is>
          <t>Role</t>
        </is>
      </c>
      <c r="B20" s="5" t="inlineStr">
        <is>
          <t>Y1</t>
        </is>
      </c>
      <c r="C20" s="5" t="inlineStr">
        <is>
          <t>Y2</t>
        </is>
      </c>
      <c r="D20" s="5" t="inlineStr">
        <is>
          <t>Y3</t>
        </is>
      </c>
      <c r="E20" s="5" t="inlineStr">
        <is>
          <t>Y4</t>
        </is>
      </c>
      <c r="F20" s="5" t="inlineStr">
        <is>
          <t>Y5</t>
        </is>
      </c>
    </row>
    <row r="21">
      <c r="A21" s="6" t="inlineStr">
        <is>
          <t>Founders</t>
        </is>
      </c>
      <c r="B21" s="8" t="n">
        <v>3</v>
      </c>
      <c r="C21" s="8" t="n">
        <v>3</v>
      </c>
      <c r="D21" s="8" t="n">
        <v>3</v>
      </c>
      <c r="E21" s="8" t="n">
        <v>3</v>
      </c>
      <c r="F21" s="8" t="n">
        <v>3</v>
      </c>
    </row>
    <row r="22">
      <c r="A22" s="6" t="inlineStr">
        <is>
          <t>Engineering</t>
        </is>
      </c>
      <c r="B22" s="8" t="n">
        <v>2</v>
      </c>
      <c r="C22" s="8" t="n">
        <v>4</v>
      </c>
      <c r="D22" s="8" t="n">
        <v>7</v>
      </c>
      <c r="E22" s="8" t="n">
        <v>10</v>
      </c>
      <c r="F22" s="8" t="n">
        <v>14</v>
      </c>
    </row>
    <row r="23">
      <c r="A23" s="6" t="inlineStr">
        <is>
          <t>Product</t>
        </is>
      </c>
      <c r="B23" s="8" t="n">
        <v>0</v>
      </c>
      <c r="C23" s="8" t="n">
        <v>1</v>
      </c>
      <c r="D23" s="8" t="n">
        <v>1</v>
      </c>
      <c r="E23" s="8" t="n">
        <v>2</v>
      </c>
      <c r="F23" s="8" t="n">
        <v>2</v>
      </c>
    </row>
    <row r="24">
      <c r="A24" s="6" t="inlineStr">
        <is>
          <t>Sales</t>
        </is>
      </c>
      <c r="B24" s="8" t="n">
        <v>0</v>
      </c>
      <c r="C24" s="8" t="n">
        <v>1</v>
      </c>
      <c r="D24" s="8" t="n">
        <v>2</v>
      </c>
      <c r="E24" s="8" t="n">
        <v>3</v>
      </c>
      <c r="F24" s="8" t="n">
        <v>4</v>
      </c>
    </row>
    <row r="25">
      <c r="A25" s="6" t="inlineStr">
        <is>
          <t>Customer Success</t>
        </is>
      </c>
      <c r="B25" s="8" t="n">
        <v>0</v>
      </c>
      <c r="C25" s="8" t="n">
        <v>1</v>
      </c>
      <c r="D25" s="8" t="n">
        <v>2</v>
      </c>
      <c r="E25" s="8" t="n">
        <v>3</v>
      </c>
      <c r="F25" s="8" t="n">
        <v>4</v>
      </c>
    </row>
    <row r="26">
      <c r="A26" s="6" t="inlineStr">
        <is>
          <t>G&amp;A</t>
        </is>
      </c>
      <c r="B26" s="8" t="n">
        <v>0</v>
      </c>
      <c r="C26" s="8" t="n">
        <v>1</v>
      </c>
      <c r="D26" s="8" t="n">
        <v>1</v>
      </c>
      <c r="E26" s="8" t="n">
        <v>2</v>
      </c>
      <c r="F26" s="8" t="n">
        <v>3</v>
      </c>
    </row>
    <row r="27">
      <c r="A27" s="6" t="inlineStr">
        <is>
          <t>Loaded €/FTE (Athens)</t>
        </is>
      </c>
      <c r="B27" s="7" t="n">
        <v>72000</v>
      </c>
      <c r="C27" s="7" t="n">
        <v>72000</v>
      </c>
      <c r="D27" s="7" t="n">
        <v>72000</v>
      </c>
      <c r="E27" s="7" t="n">
        <v>72000</v>
      </c>
      <c r="F27" s="7" t="n">
        <v>72000</v>
      </c>
    </row>
    <row r="29">
      <c r="A29" s="3" t="inlineStr">
        <is>
          <t>COGS &amp; OPEX RATIOS</t>
        </is>
      </c>
    </row>
    <row r="30">
      <c r="A30" s="4" t="inlineStr">
        <is>
          <t>Cost driver</t>
        </is>
      </c>
      <c r="B30" s="5" t="inlineStr">
        <is>
          <t>Y1</t>
        </is>
      </c>
      <c r="C30" s="5" t="inlineStr">
        <is>
          <t>Y2</t>
        </is>
      </c>
      <c r="D30" s="5" t="inlineStr">
        <is>
          <t>Y3</t>
        </is>
      </c>
      <c r="E30" s="5" t="inlineStr">
        <is>
          <t>Y4</t>
        </is>
      </c>
      <c r="F30" s="5" t="inlineStr">
        <is>
          <t>Y5</t>
        </is>
      </c>
    </row>
    <row r="31">
      <c r="A31" s="6" t="inlineStr">
        <is>
          <t>Hosting €/customer/yr</t>
        </is>
      </c>
      <c r="B31" s="7" t="n">
        <v>8000</v>
      </c>
      <c r="C31" s="7" t="n">
        <v>8000</v>
      </c>
      <c r="D31" s="7" t="n">
        <v>8000</v>
      </c>
      <c r="E31" s="7" t="n">
        <v>8000</v>
      </c>
      <c r="F31" s="7" t="n">
        <v>8000</v>
      </c>
    </row>
    <row r="32">
      <c r="A32" s="6" t="inlineStr">
        <is>
          <t>S&amp;M non-personnel (% of revenue)</t>
        </is>
      </c>
      <c r="B32" s="9" t="n">
        <v>0.1</v>
      </c>
      <c r="C32" s="9" t="n">
        <v>0.1</v>
      </c>
      <c r="D32" s="9" t="n">
        <v>0.1</v>
      </c>
      <c r="E32" s="9" t="n">
        <v>0.1</v>
      </c>
      <c r="F32" s="9" t="n">
        <v>0.1</v>
      </c>
    </row>
    <row r="33">
      <c r="A33" s="6" t="inlineStr">
        <is>
          <t>G&amp;A non-personnel (% of revenue)</t>
        </is>
      </c>
      <c r="B33" s="9" t="n">
        <v>0.06</v>
      </c>
      <c r="C33" s="9" t="n">
        <v>0.06</v>
      </c>
      <c r="D33" s="9" t="n">
        <v>0.06</v>
      </c>
      <c r="E33" s="9" t="n">
        <v>0.06</v>
      </c>
      <c r="F33" s="9" t="n">
        <v>0.06</v>
      </c>
    </row>
    <row r="34">
      <c r="A34" s="6" t="inlineStr">
        <is>
          <t>Customer-success additional COGS (% of revenue)</t>
        </is>
      </c>
      <c r="B34" s="9" t="n">
        <v>0.05</v>
      </c>
      <c r="C34" s="9" t="n">
        <v>0.05</v>
      </c>
      <c r="D34" s="9" t="n">
        <v>0.05</v>
      </c>
      <c r="E34" s="9" t="n">
        <v>0.05</v>
      </c>
      <c r="F34" s="9" t="n">
        <v>0.05</v>
      </c>
    </row>
    <row r="35">
      <c r="A35" s="6" t="inlineStr">
        <is>
          <t>Gross margin target</t>
        </is>
      </c>
      <c r="B35" s="9" t="n">
        <v>0.72</v>
      </c>
      <c r="C35" s="9" t="n">
        <v>0.72</v>
      </c>
      <c r="D35" s="9" t="n">
        <v>0.72</v>
      </c>
      <c r="E35" s="9" t="n">
        <v>0.72</v>
      </c>
      <c r="F35" s="9" t="n">
        <v>0.72</v>
      </c>
    </row>
    <row r="37">
      <c r="A37" s="3" t="inlineStr">
        <is>
          <t>CAPITAL</t>
        </is>
      </c>
    </row>
    <row r="38">
      <c r="A38" t="inlineStr">
        <is>
          <t>Pre-seed (€)</t>
        </is>
      </c>
      <c r="B38" s="7" t="n">
        <v>800000</v>
      </c>
    </row>
    <row r="39">
      <c r="A39" t="inlineStr">
        <is>
          <t>Pre-seed raise year</t>
        </is>
      </c>
      <c r="B39" s="10" t="n">
        <v>1</v>
      </c>
    </row>
    <row r="40">
      <c r="A40" t="inlineStr">
        <is>
          <t>Seed (€)</t>
        </is>
      </c>
      <c r="B40" s="7" t="n">
        <v>3500000</v>
      </c>
    </row>
    <row r="41">
      <c r="A41" t="inlineStr">
        <is>
          <t>Seed raise year</t>
        </is>
      </c>
      <c r="B41" s="10" t="n">
        <v>2</v>
      </c>
    </row>
    <row r="42">
      <c r="A42" t="inlineStr">
        <is>
          <t>Series A (€)</t>
        </is>
      </c>
      <c r="B42" s="7" t="n">
        <v>10000000</v>
      </c>
    </row>
    <row r="43">
      <c r="A43" t="inlineStr">
        <is>
          <t>Series A raise year</t>
        </is>
      </c>
      <c r="B43" s="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Revenue Build</t>
        </is>
      </c>
    </row>
    <row r="2">
      <c r="A2" s="4" t="inlineStr">
        <is>
          <t>Revenue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Tier 1 — pilots × price (€)</t>
        </is>
      </c>
      <c r="B3" s="11">
        <f>Assumptions!B15*Assumptions!B7</f>
        <v/>
      </c>
      <c r="C3" s="11">
        <f>Assumptions!C15*Assumptions!C7</f>
        <v/>
      </c>
      <c r="D3" s="11">
        <f>Assumptions!D15*Assumptions!D7</f>
        <v/>
      </c>
      <c r="E3" s="11">
        <f>Assumptions!E15*Assumptions!E7</f>
        <v/>
      </c>
      <c r="F3" s="11">
        <f>Assumptions!F15*Assumptions!F7</f>
        <v/>
      </c>
    </row>
    <row r="4">
      <c r="A4" s="4" t="inlineStr">
        <is>
          <t>Tier 2 — customers × ACV (€)</t>
        </is>
      </c>
      <c r="B4" s="11">
        <f>Assumptions!B16*Assumptions!B8</f>
        <v/>
      </c>
      <c r="C4" s="11">
        <f>Assumptions!C16*Assumptions!C8</f>
        <v/>
      </c>
      <c r="D4" s="11">
        <f>Assumptions!D16*Assumptions!D8</f>
        <v/>
      </c>
      <c r="E4" s="11">
        <f>Assumptions!E16*Assumptions!E8</f>
        <v/>
      </c>
      <c r="F4" s="11">
        <f>Assumptions!F16*Assumptions!F8</f>
        <v/>
      </c>
    </row>
    <row r="5">
      <c r="A5" s="4" t="inlineStr">
        <is>
          <t>Tier 3 — frameworks × ACV (€)</t>
        </is>
      </c>
      <c r="B5" s="11">
        <f>Assumptions!B17*Assumptions!B9</f>
        <v/>
      </c>
      <c r="C5" s="11">
        <f>Assumptions!C17*Assumptions!C9</f>
        <v/>
      </c>
      <c r="D5" s="11">
        <f>Assumptions!D17*Assumptions!D9</f>
        <v/>
      </c>
      <c r="E5" s="11">
        <f>Assumptions!E17*Assumptions!E9</f>
        <v/>
      </c>
      <c r="F5" s="11">
        <f>Assumptions!F17*Assumptions!F9</f>
        <v/>
      </c>
    </row>
    <row r="7">
      <c r="A7" s="4" t="inlineStr">
        <is>
          <t>TOTAL REVENUE (€)</t>
        </is>
      </c>
      <c r="B7" s="12">
        <f>B3+B4+B5</f>
        <v/>
      </c>
      <c r="C7" s="12">
        <f>C3+C4+C5</f>
        <v/>
      </c>
      <c r="D7" s="12">
        <f>D3+D4+D5</f>
        <v/>
      </c>
      <c r="E7" s="12">
        <f>E3+E4+E5</f>
        <v/>
      </c>
      <c r="F7" s="12">
        <f>F3+F4+F5</f>
        <v/>
      </c>
    </row>
    <row r="8">
      <c r="A8" s="4" t="inlineStr">
        <is>
          <t>Net new revenue (€)</t>
        </is>
      </c>
      <c r="B8" s="11" t="inlineStr"/>
      <c r="C8" s="11">
        <f>C7-B7</f>
        <v/>
      </c>
      <c r="D8" s="11">
        <f>D7-C7</f>
        <v/>
      </c>
      <c r="E8" s="11">
        <f>E7-D7</f>
        <v/>
      </c>
      <c r="F8" s="11">
        <f>F7-E7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Headcount &amp; Costs</t>
        </is>
      </c>
    </row>
    <row r="2">
      <c r="A2" s="4" t="inlineStr">
        <is>
          <t>Cost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Total FTE</t>
        </is>
      </c>
      <c r="B3" s="13">
        <f>Assumptions!B21+Assumptions!B22+Assumptions!B23+Assumptions!B24+Assumptions!B25+Assumptions!B26</f>
        <v/>
      </c>
      <c r="C3" s="13">
        <f>Assumptions!C21+Assumptions!C22+Assumptions!C23+Assumptions!C24+Assumptions!C25+Assumptions!C26</f>
        <v/>
      </c>
      <c r="D3" s="13">
        <f>Assumptions!D21+Assumptions!D22+Assumptions!D23+Assumptions!D24+Assumptions!D25+Assumptions!D26</f>
        <v/>
      </c>
      <c r="E3" s="13">
        <f>Assumptions!E21+Assumptions!E22+Assumptions!E23+Assumptions!E24+Assumptions!E25+Assumptions!E26</f>
        <v/>
      </c>
      <c r="F3" s="13">
        <f>Assumptions!F21+Assumptions!F22+Assumptions!F23+Assumptions!F24+Assumptions!F25+Assumptions!F26</f>
        <v/>
      </c>
    </row>
    <row r="4">
      <c r="A4" s="4" t="inlineStr">
        <is>
          <t>People cost (€)</t>
        </is>
      </c>
      <c r="B4" s="11">
        <f>B3*Assumptions!B27</f>
        <v/>
      </c>
      <c r="C4" s="11">
        <f>C3*Assumptions!C27</f>
        <v/>
      </c>
      <c r="D4" s="11">
        <f>D3*Assumptions!D27</f>
        <v/>
      </c>
      <c r="E4" s="11">
        <f>E3*Assumptions!E27</f>
        <v/>
      </c>
      <c r="F4" s="11">
        <f>F3*Assumptions!F27</f>
        <v/>
      </c>
    </row>
    <row r="5">
      <c r="A5" s="4" t="inlineStr">
        <is>
          <t>Hosting cost (€)</t>
        </is>
      </c>
      <c r="B5" s="11">
        <f>(Assumptions!B15+Assumptions!B16+Assumptions!B17)*Assumptions!B31</f>
        <v/>
      </c>
      <c r="C5" s="11">
        <f>(Assumptions!C15+Assumptions!C16+Assumptions!C17)*Assumptions!C31</f>
        <v/>
      </c>
      <c r="D5" s="11">
        <f>(Assumptions!D15+Assumptions!D16+Assumptions!D17)*Assumptions!D31</f>
        <v/>
      </c>
      <c r="E5" s="11">
        <f>(Assumptions!E15+Assumptions!E16+Assumptions!E17)*Assumptions!E31</f>
        <v/>
      </c>
      <c r="F5" s="11">
        <f>(Assumptions!F15+Assumptions!F16+Assumptions!F17)*Assumptions!F31</f>
        <v/>
      </c>
    </row>
    <row r="6">
      <c r="A6" s="4" t="inlineStr">
        <is>
          <t>S&amp;M non-personnel (€)</t>
        </is>
      </c>
      <c r="B6" s="11">
        <f>Revenue!B7*Assumptions!B32</f>
        <v/>
      </c>
      <c r="C6" s="11">
        <f>Revenue!C7*Assumptions!C32</f>
        <v/>
      </c>
      <c r="D6" s="11">
        <f>Revenue!D7*Assumptions!D32</f>
        <v/>
      </c>
      <c r="E6" s="11">
        <f>Revenue!E7*Assumptions!E32</f>
        <v/>
      </c>
      <c r="F6" s="11">
        <f>Revenue!F7*Assumptions!F32</f>
        <v/>
      </c>
    </row>
    <row r="7">
      <c r="A7" s="4" t="inlineStr">
        <is>
          <t>G&amp;A non-personnel (€)</t>
        </is>
      </c>
      <c r="B7" s="11">
        <f>Revenue!B7*Assumptions!B33</f>
        <v/>
      </c>
      <c r="C7" s="11">
        <f>Revenue!C7*Assumptions!C33</f>
        <v/>
      </c>
      <c r="D7" s="11">
        <f>Revenue!D7*Assumptions!D33</f>
        <v/>
      </c>
      <c r="E7" s="11">
        <f>Revenue!E7*Assumptions!E33</f>
        <v/>
      </c>
      <c r="F7" s="11">
        <f>Revenue!F7*Assumptions!F33</f>
        <v/>
      </c>
    </row>
    <row r="8">
      <c r="A8" s="4" t="inlineStr">
        <is>
          <t>CS additional COGS (€)</t>
        </is>
      </c>
      <c r="B8" s="11">
        <f>Revenue!B7*Assumptions!B34</f>
        <v/>
      </c>
      <c r="C8" s="11">
        <f>Revenue!C7*Assumptions!C34</f>
        <v/>
      </c>
      <c r="D8" s="11">
        <f>Revenue!D7*Assumptions!D34</f>
        <v/>
      </c>
      <c r="E8" s="11">
        <f>Revenue!E7*Assumptions!E34</f>
        <v/>
      </c>
      <c r="F8" s="11">
        <f>Revenue!F7*Assumptions!F34</f>
        <v/>
      </c>
    </row>
    <row r="10">
      <c r="A10" s="4" t="inlineStr">
        <is>
          <t>TOTAL OPERATING COST (€)</t>
        </is>
      </c>
      <c r="B10" s="12">
        <f>B4+B5+B6+B7+B8</f>
        <v/>
      </c>
      <c r="C10" s="12">
        <f>C4+C5+C6+C7+C8</f>
        <v/>
      </c>
      <c r="D10" s="12">
        <f>D4+D5+D6+D7+D8</f>
        <v/>
      </c>
      <c r="E10" s="12">
        <f>E4+E5+E6+E7+E8</f>
        <v/>
      </c>
      <c r="F10" s="12">
        <f>F4+F5+F6+F7+F8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P&amp;L (5 years)</t>
        </is>
      </c>
    </row>
    <row r="2">
      <c r="A2" s="4" t="inlineStr">
        <is>
          <t>P&amp;L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Revenue</t>
        </is>
      </c>
      <c r="B3" s="11">
        <f>Revenue!B7</f>
        <v/>
      </c>
      <c r="C3" s="11">
        <f>Revenue!C7</f>
        <v/>
      </c>
      <c r="D3" s="11">
        <f>Revenue!D7</f>
        <v/>
      </c>
      <c r="E3" s="11">
        <f>Revenue!E7</f>
        <v/>
      </c>
      <c r="F3" s="11">
        <f>Revenue!F7</f>
        <v/>
      </c>
    </row>
    <row r="4">
      <c r="A4" t="inlineStr">
        <is>
          <t>COGS</t>
        </is>
      </c>
      <c r="B4" s="11">
        <f>Headcount_Costs!B5+Headcount_Costs!B8</f>
        <v/>
      </c>
      <c r="C4" s="11">
        <f>Headcount_Costs!C5+Headcount_Costs!C8</f>
        <v/>
      </c>
      <c r="D4" s="11">
        <f>Headcount_Costs!D5+Headcount_Costs!D8</f>
        <v/>
      </c>
      <c r="E4" s="11">
        <f>Headcount_Costs!E5+Headcount_Costs!E8</f>
        <v/>
      </c>
      <c r="F4" s="11">
        <f>Headcount_Costs!F5+Headcount_Costs!F8</f>
        <v/>
      </c>
    </row>
    <row r="5">
      <c r="A5" s="4" t="inlineStr">
        <is>
          <t>Gross Profit</t>
        </is>
      </c>
      <c r="B5" s="14">
        <f>B3-B4</f>
        <v/>
      </c>
      <c r="C5" s="14">
        <f>C3-C4</f>
        <v/>
      </c>
      <c r="D5" s="14">
        <f>D3-D4</f>
        <v/>
      </c>
      <c r="E5" s="14">
        <f>E3-E4</f>
        <v/>
      </c>
      <c r="F5" s="14">
        <f>F3-F4</f>
        <v/>
      </c>
    </row>
    <row r="6">
      <c r="A6" t="inlineStr">
        <is>
          <t>Gross Margin %</t>
        </is>
      </c>
      <c r="B6" s="15">
        <f>IFERROR(B5/B3,0)</f>
        <v/>
      </c>
      <c r="C6" s="15">
        <f>IFERROR(C5/C3,0)</f>
        <v/>
      </c>
      <c r="D6" s="15">
        <f>IFERROR(D5/D3,0)</f>
        <v/>
      </c>
      <c r="E6" s="15">
        <f>IFERROR(E5/E3,0)</f>
        <v/>
      </c>
      <c r="F6" s="15">
        <f>IFERROR(F5/F3,0)</f>
        <v/>
      </c>
    </row>
    <row r="8">
      <c r="A8" t="inlineStr">
        <is>
          <t>Personnel (R&amp;D + S&amp;M + G&amp;A + CS)</t>
        </is>
      </c>
      <c r="B8" s="11">
        <f>Headcount_Costs!B4</f>
        <v/>
      </c>
      <c r="C8" s="11">
        <f>Headcount_Costs!C4</f>
        <v/>
      </c>
      <c r="D8" s="11">
        <f>Headcount_Costs!D4</f>
        <v/>
      </c>
      <c r="E8" s="11">
        <f>Headcount_Costs!E4</f>
        <v/>
      </c>
      <c r="F8" s="11">
        <f>Headcount_Costs!F4</f>
        <v/>
      </c>
    </row>
    <row r="9">
      <c r="A9" t="inlineStr">
        <is>
          <t>S&amp;M non-personnel</t>
        </is>
      </c>
      <c r="B9" s="11">
        <f>Headcount_Costs!B6</f>
        <v/>
      </c>
      <c r="C9" s="11">
        <f>Headcount_Costs!C6</f>
        <v/>
      </c>
      <c r="D9" s="11">
        <f>Headcount_Costs!D6</f>
        <v/>
      </c>
      <c r="E9" s="11">
        <f>Headcount_Costs!E6</f>
        <v/>
      </c>
      <c r="F9" s="11">
        <f>Headcount_Costs!F6</f>
        <v/>
      </c>
    </row>
    <row r="10">
      <c r="A10" t="inlineStr">
        <is>
          <t>G&amp;A non-personnel</t>
        </is>
      </c>
      <c r="B10" s="11">
        <f>Headcount_Costs!B7</f>
        <v/>
      </c>
      <c r="C10" s="11">
        <f>Headcount_Costs!C7</f>
        <v/>
      </c>
      <c r="D10" s="11">
        <f>Headcount_Costs!D7</f>
        <v/>
      </c>
      <c r="E10" s="11">
        <f>Headcount_Costs!E7</f>
        <v/>
      </c>
      <c r="F10" s="11">
        <f>Headcount_Costs!F7</f>
        <v/>
      </c>
    </row>
    <row r="11">
      <c r="A11" s="4" t="inlineStr">
        <is>
          <t>Total OPEX</t>
        </is>
      </c>
      <c r="B11" s="14">
        <f>B8+B9+B10</f>
        <v/>
      </c>
      <c r="C11" s="14">
        <f>C8+C9+C10</f>
        <v/>
      </c>
      <c r="D11" s="14">
        <f>D8+D9+D10</f>
        <v/>
      </c>
      <c r="E11" s="14">
        <f>E8+E9+E10</f>
        <v/>
      </c>
      <c r="F11" s="14">
        <f>F8+F9+F10</f>
        <v/>
      </c>
    </row>
    <row r="13">
      <c r="A13" s="4" t="inlineStr">
        <is>
          <t>EBITDA</t>
        </is>
      </c>
      <c r="B13" s="12">
        <f>B5-B11</f>
        <v/>
      </c>
      <c r="C13" s="12">
        <f>C5-C11</f>
        <v/>
      </c>
      <c r="D13" s="12">
        <f>D5-D11</f>
        <v/>
      </c>
      <c r="E13" s="12">
        <f>E5-E11</f>
        <v/>
      </c>
      <c r="F13" s="12">
        <f>F5-F11</f>
        <v/>
      </c>
    </row>
    <row r="14">
      <c r="A14" t="inlineStr">
        <is>
          <t>EBITDA margin %</t>
        </is>
      </c>
      <c r="B14" s="15">
        <f>IFERROR(B13/B3,0)</f>
        <v/>
      </c>
      <c r="C14" s="15">
        <f>IFERROR(C13/C3,0)</f>
        <v/>
      </c>
      <c r="D14" s="15">
        <f>IFERROR(D13/D3,0)</f>
        <v/>
      </c>
      <c r="E14" s="15">
        <f>IFERROR(E13/E3,0)</f>
        <v/>
      </c>
      <c r="F14" s="15">
        <f>IFERROR(F13/F3,0)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Cash Flow &amp; Runway</t>
        </is>
      </c>
    </row>
    <row r="2">
      <c r="A2" s="4" t="inlineStr">
        <is>
          <t>Cash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t="inlineStr">
        <is>
          <t>Equity raised (€)</t>
        </is>
      </c>
      <c r="B3" s="11">
        <f>IF(Assumptions!B39=1,Assumptions!B38,0)+IF(Assumptions!B41=1,Assumptions!B40,0)+IF(Assumptions!B43=1,Assumptions!B42,0)</f>
        <v/>
      </c>
      <c r="C3" s="11">
        <f>IF(Assumptions!B39=2,Assumptions!B38,0)+IF(Assumptions!B41=2,Assumptions!B40,0)+IF(Assumptions!B43=2,Assumptions!B42,0)</f>
        <v/>
      </c>
      <c r="D3" s="11">
        <f>IF(Assumptions!B39=3,Assumptions!B38,0)+IF(Assumptions!B41=3,Assumptions!B40,0)+IF(Assumptions!B43=3,Assumptions!B42,0)</f>
        <v/>
      </c>
      <c r="E3" s="11">
        <f>IF(Assumptions!B39=4,Assumptions!B38,0)+IF(Assumptions!B41=4,Assumptions!B40,0)+IF(Assumptions!B43=4,Assumptions!B42,0)</f>
        <v/>
      </c>
      <c r="F3" s="11">
        <f>IF(Assumptions!B39=5,Assumptions!B38,0)+IF(Assumptions!B41=5,Assumptions!B40,0)+IF(Assumptions!B43=5,Assumptions!B42,0)</f>
        <v/>
      </c>
    </row>
    <row r="4">
      <c r="A4" t="inlineStr">
        <is>
          <t>EBITDA</t>
        </is>
      </c>
      <c r="B4" s="11">
        <f>P_and_L!B13</f>
        <v/>
      </c>
      <c r="C4" s="11">
        <f>P_and_L!C13</f>
        <v/>
      </c>
      <c r="D4" s="11">
        <f>P_and_L!D13</f>
        <v/>
      </c>
      <c r="E4" s="11">
        <f>P_and_L!E13</f>
        <v/>
      </c>
      <c r="F4" s="11">
        <f>P_and_L!F13</f>
        <v/>
      </c>
    </row>
    <row r="5">
      <c r="A5" t="inlineStr">
        <is>
          <t>Working capital change (10% Δrev)</t>
        </is>
      </c>
      <c r="B5" s="11">
        <f>-Revenue!B7*0.1</f>
        <v/>
      </c>
      <c r="C5" s="11">
        <f>-(Revenue!C7-Revenue!B7)*0.1</f>
        <v/>
      </c>
      <c r="D5" s="11">
        <f>-(Revenue!D7-Revenue!C7)*0.1</f>
        <v/>
      </c>
      <c r="E5" s="11">
        <f>-(Revenue!E7-Revenue!D7)*0.1</f>
        <v/>
      </c>
      <c r="F5" s="11">
        <f>-(Revenue!F7-Revenue!E7)*0.1</f>
        <v/>
      </c>
    </row>
    <row r="7">
      <c r="A7" s="4" t="inlineStr">
        <is>
          <t>Net cash flow</t>
        </is>
      </c>
      <c r="B7" s="14">
        <f>B3+B4+B5</f>
        <v/>
      </c>
      <c r="C7" s="14">
        <f>C3+C4+C5</f>
        <v/>
      </c>
      <c r="D7" s="14">
        <f>D3+D4+D5</f>
        <v/>
      </c>
      <c r="E7" s="14">
        <f>E3+E4+E5</f>
        <v/>
      </c>
      <c r="F7" s="14">
        <f>F3+F4+F5</f>
        <v/>
      </c>
    </row>
    <row r="8">
      <c r="A8" t="inlineStr">
        <is>
          <t>Starting cash</t>
        </is>
      </c>
      <c r="B8" s="11" t="n">
        <v>0</v>
      </c>
      <c r="C8" s="11">
        <f>B9</f>
        <v/>
      </c>
      <c r="D8" s="11">
        <f>C9</f>
        <v/>
      </c>
      <c r="E8" s="11">
        <f>D9</f>
        <v/>
      </c>
      <c r="F8" s="11">
        <f>E9</f>
        <v/>
      </c>
    </row>
    <row r="9">
      <c r="A9" s="4" t="inlineStr">
        <is>
          <t>Ending cash</t>
        </is>
      </c>
      <c r="B9" s="12">
        <f>B8+B7</f>
        <v/>
      </c>
      <c r="C9" s="12">
        <f>C8+C7</f>
        <v/>
      </c>
      <c r="D9" s="12">
        <f>D8+D7</f>
        <v/>
      </c>
      <c r="E9" s="12">
        <f>E8+E7</f>
        <v/>
      </c>
      <c r="F9" s="12">
        <f>F8+F7</f>
        <v/>
      </c>
    </row>
    <row r="10">
      <c r="A10" t="inlineStr">
        <is>
          <t>Runway (months) @ year-end</t>
        </is>
      </c>
      <c r="B10" s="13">
        <f>IFERROR(IF(B4&lt;0,B9/(-B4/12),999),0)</f>
        <v/>
      </c>
      <c r="C10" s="13">
        <f>IFERROR(IF(C4&lt;0,C9/(-C4/12),999),0)</f>
        <v/>
      </c>
      <c r="D10" s="13">
        <f>IFERROR(IF(D4&lt;0,D9/(-D4/12),999),0)</f>
        <v/>
      </c>
      <c r="E10" s="13">
        <f>IFERROR(IF(E4&lt;0,E9/(-E4/12),999),0)</f>
        <v/>
      </c>
      <c r="F10" s="13">
        <f>IFERROR(IF(F4&lt;0,F9/(-F4/12),999),0)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KPIs dashboard</t>
        </is>
      </c>
    </row>
    <row r="2">
      <c r="A2" s="4" t="inlineStr">
        <is>
          <t>KPI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ARR end of year (€)</t>
        </is>
      </c>
      <c r="B3" s="12">
        <f>Revenue!B7</f>
        <v/>
      </c>
      <c r="C3" s="12">
        <f>Revenue!C7</f>
        <v/>
      </c>
      <c r="D3" s="12">
        <f>Revenue!D7</f>
        <v/>
      </c>
      <c r="E3" s="12">
        <f>Revenue!E7</f>
        <v/>
      </c>
      <c r="F3" s="12">
        <f>Revenue!F7</f>
        <v/>
      </c>
    </row>
    <row r="4">
      <c r="A4" t="inlineStr">
        <is>
          <t>Net new ARR (€)</t>
        </is>
      </c>
      <c r="B4" s="11">
        <f>Revenue!B7</f>
        <v/>
      </c>
      <c r="C4" s="11">
        <f>Revenue!C7-Revenue!B7</f>
        <v/>
      </c>
      <c r="D4" s="11">
        <f>Revenue!D7-Revenue!C7</f>
        <v/>
      </c>
      <c r="E4" s="11">
        <f>Revenue!E7-Revenue!D7</f>
        <v/>
      </c>
      <c r="F4" s="11">
        <f>Revenue!F7-Revenue!E7</f>
        <v/>
      </c>
    </row>
    <row r="5">
      <c r="A5" t="inlineStr">
        <is>
          <t>Gross margin %</t>
        </is>
      </c>
      <c r="B5" s="15">
        <f>P_and_L!B6</f>
        <v/>
      </c>
      <c r="C5" s="15">
        <f>P_and_L!C6</f>
        <v/>
      </c>
      <c r="D5" s="15">
        <f>P_and_L!D6</f>
        <v/>
      </c>
      <c r="E5" s="15">
        <f>P_and_L!E6</f>
        <v/>
      </c>
      <c r="F5" s="15">
        <f>P_and_L!F6</f>
        <v/>
      </c>
    </row>
    <row r="6">
      <c r="A6" t="inlineStr">
        <is>
          <t>Monthly burn (€)</t>
        </is>
      </c>
      <c r="B6" s="11">
        <f>IF(P_and_L!B13&lt;0,-P_and_L!B13/12,0)</f>
        <v/>
      </c>
      <c r="C6" s="11">
        <f>IF(P_and_L!C13&lt;0,-P_and_L!C13/12,0)</f>
        <v/>
      </c>
      <c r="D6" s="11">
        <f>IF(P_and_L!D13&lt;0,-P_and_L!D13/12,0)</f>
        <v/>
      </c>
      <c r="E6" s="11">
        <f>IF(P_and_L!E13&lt;0,-P_and_L!E13/12,0)</f>
        <v/>
      </c>
      <c r="F6" s="11">
        <f>IF(P_and_L!F13&lt;0,-P_and_L!F13/12,0)</f>
        <v/>
      </c>
    </row>
    <row r="7">
      <c r="A7" t="inlineStr">
        <is>
          <t>Active customers</t>
        </is>
      </c>
      <c r="B7" s="13">
        <f>Assumptions!B15+Assumptions!B16+Assumptions!B17</f>
        <v/>
      </c>
      <c r="C7" s="13">
        <f>Assumptions!C15+Assumptions!C16+Assumptions!C17</f>
        <v/>
      </c>
      <c r="D7" s="13">
        <f>Assumptions!D15+Assumptions!D16+Assumptions!D17</f>
        <v/>
      </c>
      <c r="E7" s="13">
        <f>Assumptions!E15+Assumptions!E16+Assumptions!E17</f>
        <v/>
      </c>
      <c r="F7" s="13">
        <f>Assumptions!F15+Assumptions!F16+Assumptions!F17</f>
        <v/>
      </c>
    </row>
    <row r="8">
      <c r="A8" t="inlineStr">
        <is>
          <t>Total headcount</t>
        </is>
      </c>
      <c r="B8" s="13">
        <f>Headcount_Costs!B3</f>
        <v/>
      </c>
      <c r="C8" s="13">
        <f>Headcount_Costs!C3</f>
        <v/>
      </c>
      <c r="D8" s="13">
        <f>Headcount_Costs!D3</f>
        <v/>
      </c>
      <c r="E8" s="13">
        <f>Headcount_Costs!E3</f>
        <v/>
      </c>
      <c r="F8" s="13">
        <f>Headcount_Costs!F3</f>
        <v/>
      </c>
    </row>
    <row r="9">
      <c r="A9" t="inlineStr">
        <is>
          <t>Revenue per FTE (€)</t>
        </is>
      </c>
      <c r="B9" s="11">
        <f>IFERROR(Revenue!B7/Headcount_Costs!B3,0)</f>
        <v/>
      </c>
      <c r="C9" s="11">
        <f>IFERROR(Revenue!C7/Headcount_Costs!C3,0)</f>
        <v/>
      </c>
      <c r="D9" s="11">
        <f>IFERROR(Revenue!D7/Headcount_Costs!D3,0)</f>
        <v/>
      </c>
      <c r="E9" s="11">
        <f>IFERROR(Revenue!E7/Headcount_Costs!E3,0)</f>
        <v/>
      </c>
      <c r="F9" s="11">
        <f>IFERROR(Revenue!F7/Headcount_Costs!F3,0)</f>
        <v/>
      </c>
    </row>
    <row r="10">
      <c r="A10" t="inlineStr">
        <is>
          <t>Cash at year-end (€)</t>
        </is>
      </c>
      <c r="B10" s="11">
        <f>Cash_Flow!B9</f>
        <v/>
      </c>
      <c r="C10" s="11">
        <f>Cash_Flow!C9</f>
        <v/>
      </c>
      <c r="D10" s="11">
        <f>Cash_Flow!D9</f>
        <v/>
      </c>
      <c r="E10" s="11">
        <f>Cash_Flow!E9</f>
        <v/>
      </c>
      <c r="F10" s="11">
        <f>Cash_Flow!F9</f>
        <v/>
      </c>
    </row>
    <row r="12">
      <c r="A12" s="3" t="inlineStr">
        <is>
          <t>Y5 ARR scenarios (sensitivity on Tier 2/3 counts)</t>
        </is>
      </c>
    </row>
    <row r="13">
      <c r="A13" s="4" t="inlineStr">
        <is>
          <t>Scenario</t>
        </is>
      </c>
      <c r="B13" s="4" t="inlineStr">
        <is>
          <t>Multiplier</t>
        </is>
      </c>
      <c r="C13" s="4" t="inlineStr">
        <is>
          <t>Y5 ARR (€)</t>
        </is>
      </c>
      <c r="D13" s="4" t="n"/>
      <c r="E13" s="4" t="n"/>
      <c r="F13" s="4" t="n"/>
    </row>
    <row r="14">
      <c r="A14" t="inlineStr">
        <is>
          <t>Conservative</t>
        </is>
      </c>
      <c r="B14" t="n">
        <v>0.6</v>
      </c>
      <c r="C14" s="11">
        <f>Revenue!F7*0.6</f>
        <v/>
      </c>
    </row>
    <row r="15">
      <c r="A15" t="inlineStr">
        <is>
          <t>Base</t>
        </is>
      </c>
      <c r="B15" t="n">
        <v>1</v>
      </c>
      <c r="C15" s="12">
        <f>Revenue!F7</f>
        <v/>
      </c>
    </row>
    <row r="16">
      <c r="A16" t="inlineStr">
        <is>
          <t>Aggressive</t>
        </is>
      </c>
      <c r="B16" t="n">
        <v>1.5</v>
      </c>
      <c r="C16" s="11">
        <f>Revenue!F7*1.5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2026-05-21T14:14:23Z</dcterms:created>
  <dcterms:modified xmlns:dcterms="http://purl.org/dc/terms/" xmlns:xsi="http://www.w3.org/2001/XMLSchema-instance" xsi:type="dcterms:W3CDTF">2026-05-21T14:14:23Z</dcterms:modified>
</cp:coreProperties>
</file>